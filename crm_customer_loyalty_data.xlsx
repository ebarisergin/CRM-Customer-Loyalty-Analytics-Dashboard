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rb\Desktop\"/>
    </mc:Choice>
  </mc:AlternateContent>
  <xr:revisionPtr revIDLastSave="0" documentId="8_{AFF0A688-CDC1-4AC6-B277-30C273A85856}" xr6:coauthVersionLast="47" xr6:coauthVersionMax="47" xr10:uidLastSave="{00000000-0000-0000-0000-000000000000}"/>
  <bookViews>
    <workbookView xWindow="-108" yWindow="-108" windowWidth="23256" windowHeight="12576" activeTab="2" xr2:uid="{B45155B3-478A-4FD5-A90C-FBC50DB07850}"/>
  </bookViews>
  <sheets>
    <sheet name="customers_data" sheetId="1" r:id="rId1"/>
    <sheet name="transactions_data" sheetId="2" r:id="rId2"/>
    <sheet name="dashboard" sheetId="3" r:id="rId3"/>
    <sheet name="pivot_tables" sheetId="4" r:id="rId4"/>
  </sheets>
  <definedNames>
    <definedName name="_xlcn.WorksheetConnection_Kitap1Tablo11" hidden="1">Tablo1[]</definedName>
    <definedName name="_xlcn.WorksheetConnection_Kitap1Tablo21" hidden="1">Tablo2[]</definedName>
    <definedName name="Dilimleyici_age_group">#N/A</definedName>
  </definedNames>
  <calcPr calcId="191029"/>
  <pivotCaches>
    <pivotCache cacheId="21" r:id="rId5"/>
    <pivotCache cacheId="80" r:id="rId6"/>
    <pivotCache cacheId="83" r:id="rId7"/>
  </pivotCaches>
  <extLst>
    <ext xmlns:x14="http://schemas.microsoft.com/office/spreadsheetml/2009/9/main" uri="{876F7934-8845-4945-9796-88D515C7AA90}">
      <x14:pivotCaches>
        <pivotCache cacheId="31" r:id="rId8"/>
      </x14:pivotCaches>
    </ex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o2" name="Tablo2" connection="WorksheetConnection_Kitap1!Tablo2"/>
          <x15:modelTable id="Tablo1" name="Tablo1" connection="WorksheetConnection_Kitap1!Tablo1"/>
        </x15:modelTables>
        <x15:modelRelationships>
          <x15:modelRelationship fromTable="Tablo2" fromColumn="customer_id" toTable="Tablo1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I8" i="3"/>
  <c r="E8" i="3"/>
  <c r="A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9A300-C7AE-4971-BA2F-5E950BDEE940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E2ACA5A-6087-4762-9A35-55ABE2F7EE71}" name="WorksheetConnection_Kitap1!Tablo1" type="102" refreshedVersion="8" minRefreshableVersion="5">
    <extLst>
      <ext xmlns:x15="http://schemas.microsoft.com/office/spreadsheetml/2010/11/main" uri="{DE250136-89BD-433C-8126-D09CA5730AF9}">
        <x15:connection id="Tablo1">
          <x15:rangePr sourceName="_xlcn.WorksheetConnection_Kitap1Tablo11"/>
        </x15:connection>
      </ext>
    </extLst>
  </connection>
  <connection id="3" xr16:uid="{F5579077-F972-4592-9064-82BA1CBC5C4B}" name="WorksheetConnection_Kitap1!Tablo2" type="102" refreshedVersion="8" minRefreshableVersion="5">
    <extLst>
      <ext xmlns:x15="http://schemas.microsoft.com/office/spreadsheetml/2010/11/main" uri="{DE250136-89BD-433C-8126-D09CA5730AF9}">
        <x15:connection id="Tablo2" autoDelete="1">
          <x15:rangePr sourceName="_xlcn.WorksheetConnection_Kitap1Tablo21"/>
        </x15:connection>
      </ext>
    </extLst>
  </connection>
</connections>
</file>

<file path=xl/sharedStrings.xml><?xml version="1.0" encoding="utf-8"?>
<sst xmlns="http://schemas.openxmlformats.org/spreadsheetml/2006/main" count="155" uniqueCount="57">
  <si>
    <t>customer_id</t>
  </si>
  <si>
    <t>customer_name</t>
  </si>
  <si>
    <t>age_group</t>
  </si>
  <si>
    <t>gender</t>
  </si>
  <si>
    <t>region</t>
  </si>
  <si>
    <t>membership_type</t>
  </si>
  <si>
    <t>join date</t>
  </si>
  <si>
    <t>Ahmet Yılmaz</t>
  </si>
  <si>
    <t>Canan Kaya</t>
  </si>
  <si>
    <t>Mehmet Demir</t>
  </si>
  <si>
    <t>Büşra Çelik</t>
  </si>
  <si>
    <t>Merve Aydın</t>
  </si>
  <si>
    <t>Tarık Esen</t>
  </si>
  <si>
    <t>Selin Öztürk</t>
  </si>
  <si>
    <t>Can Yıldız</t>
  </si>
  <si>
    <t>Elif Kurt</t>
  </si>
  <si>
    <t>Burak Şahin</t>
  </si>
  <si>
    <t>25-34</t>
  </si>
  <si>
    <t>35-44</t>
  </si>
  <si>
    <t>18-24</t>
  </si>
  <si>
    <t>45+</t>
  </si>
  <si>
    <t>M</t>
  </si>
  <si>
    <t>F</t>
  </si>
  <si>
    <t>Marmara</t>
  </si>
  <si>
    <t>Ege</t>
  </si>
  <si>
    <t>İç Anadolu</t>
  </si>
  <si>
    <t>Akdeniz</t>
  </si>
  <si>
    <t>Karadeniz</t>
  </si>
  <si>
    <t>Gold</t>
  </si>
  <si>
    <t>Silver</t>
  </si>
  <si>
    <t>Standart</t>
  </si>
  <si>
    <t>Satır Etiketleri</t>
  </si>
  <si>
    <t>Genel Toplam</t>
  </si>
  <si>
    <t>Sütun Etiketleri</t>
  </si>
  <si>
    <t>transaction_id</t>
  </si>
  <si>
    <t>transaction_date</t>
  </si>
  <si>
    <t>category</t>
  </si>
  <si>
    <t>amount</t>
  </si>
  <si>
    <t>product_count</t>
  </si>
  <si>
    <t>payment_method</t>
  </si>
  <si>
    <t>channel</t>
  </si>
  <si>
    <t>Electronics</t>
  </si>
  <si>
    <t>Fashion</t>
  </si>
  <si>
    <t>Cosmetics</t>
  </si>
  <si>
    <t>Books</t>
  </si>
  <si>
    <t>Credit Card</t>
  </si>
  <si>
    <t>Cash</t>
  </si>
  <si>
    <t>Debit Card</t>
  </si>
  <si>
    <t>Online</t>
  </si>
  <si>
    <t>Store</t>
  </si>
  <si>
    <t>Toplam amount</t>
  </si>
  <si>
    <t>XXX Company CRM &amp; Customer Churn/Loyalty Analysis</t>
  </si>
  <si>
    <t>Total Sales</t>
  </si>
  <si>
    <t>Total Orders</t>
  </si>
  <si>
    <t>Average Order Value</t>
  </si>
  <si>
    <t>Total Products Sold</t>
  </si>
  <si>
    <t>Toplam veri: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</si>
</sst>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8" formatCode="&quot;₺&quot;#,##0.00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20"/>
      <color theme="0"/>
      <name val="Arial"/>
      <family val="2"/>
      <charset val="162"/>
    </font>
    <font>
      <b/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9" xfId="0" applyNumberFormat="1" applyFont="1" applyBorder="1"/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/>
    <xf numFmtId="168" fontId="0" fillId="0" borderId="0" xfId="0" applyNumberFormat="1"/>
    <xf numFmtId="168" fontId="3" fillId="0" borderId="5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8" fontId="2" fillId="2" borderId="3" xfId="1" applyNumberFormat="1" applyFont="1" applyFill="1" applyBorder="1" applyAlignment="1">
      <alignment horizontal="center" vertical="center"/>
    </xf>
    <xf numFmtId="168" fontId="2" fillId="2" borderId="12" xfId="1" applyNumberFormat="1" applyFont="1" applyFill="1" applyBorder="1" applyAlignment="1">
      <alignment horizontal="center" vertical="center"/>
    </xf>
    <xf numFmtId="168" fontId="2" fillId="2" borderId="2" xfId="1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0" fontId="2" fillId="2" borderId="12" xfId="1" applyNumberFormat="1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/>
    </xf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2" fillId="0" borderId="1" xfId="0" pivotButton="1" applyFont="1" applyBorder="1" applyAlignment="1">
      <alignment horizontal="center" vertical="center"/>
    </xf>
    <xf numFmtId="0" fontId="2" fillId="0" borderId="1" xfId="0" pivotButton="1" applyFont="1" applyBorder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</cellXfs>
  <cellStyles count="2">
    <cellStyle name="Normal" xfId="0" builtinId="0"/>
    <cellStyle name="ParaBirimi" xfId="1" builtinId="4"/>
  </cellStyles>
  <dxfs count="264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68" formatCode="&quot;₺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numFmt numFmtId="19" formatCode="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[crm_customer_loyalty_data.xlsx]dashboard!PivotTable3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dashboard!$F$13:$F$17</c:f>
              <c:strCache>
                <c:ptCount val="4"/>
                <c:pt idx="0">
                  <c:v>Books</c:v>
                </c:pt>
                <c:pt idx="1">
                  <c:v>Cosmetics</c:v>
                </c:pt>
                <c:pt idx="2">
                  <c:v>Electronics</c:v>
                </c:pt>
                <c:pt idx="3">
                  <c:v>Fashion</c:v>
                </c:pt>
              </c:strCache>
            </c:strRef>
          </c:cat>
          <c:val>
            <c:numRef>
              <c:f>dashboard!$G$13:$G$17</c:f>
              <c:numCache>
                <c:formatCode>"₺"#,##0.00</c:formatCode>
                <c:ptCount val="4"/>
                <c:pt idx="0">
                  <c:v>1300</c:v>
                </c:pt>
                <c:pt idx="1">
                  <c:v>9900</c:v>
                </c:pt>
                <c:pt idx="2">
                  <c:v>39000</c:v>
                </c:pt>
                <c:pt idx="3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F-4E13-BFCF-174A82B15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178879"/>
        <c:axId val="423170239"/>
      </c:barChart>
      <c:catAx>
        <c:axId val="42317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3170239"/>
        <c:crosses val="autoZero"/>
        <c:auto val="1"/>
        <c:lblAlgn val="ctr"/>
        <c:lblOffset val="100"/>
        <c:noMultiLvlLbl val="0"/>
      </c:catAx>
      <c:valAx>
        <c:axId val="4231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31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[crm_customer_loyalty_data.xlsx]dashboard!PivotTable4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dashboard!$L$12:$L$13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dashboard!$K$14:$K$19</c:f>
              <c:strCache>
                <c:ptCount val="5"/>
                <c:pt idx="0">
                  <c:v>Akdeniz</c:v>
                </c:pt>
                <c:pt idx="1">
                  <c:v>Ege</c:v>
                </c:pt>
                <c:pt idx="2">
                  <c:v>İç Anadolu</c:v>
                </c:pt>
                <c:pt idx="3">
                  <c:v>Karadeniz</c:v>
                </c:pt>
                <c:pt idx="4">
                  <c:v>Marmara</c:v>
                </c:pt>
              </c:strCache>
            </c:strRef>
          </c:cat>
          <c:val>
            <c:numRef>
              <c:f>dashboard!$L$14:$L$19</c:f>
              <c:numCache>
                <c:formatCode>General</c:formatCode>
                <c:ptCount val="5"/>
                <c:pt idx="0">
                  <c:v>6000</c:v>
                </c:pt>
                <c:pt idx="1">
                  <c:v>10700</c:v>
                </c:pt>
                <c:pt idx="2">
                  <c:v>4800</c:v>
                </c:pt>
                <c:pt idx="4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0-49EF-B496-8474CDA67B40}"/>
            </c:ext>
          </c:extLst>
        </c:ser>
        <c:ser>
          <c:idx val="1"/>
          <c:order val="1"/>
          <c:tx>
            <c:strRef>
              <c:f>dashboard!$M$12:$M$13</c:f>
              <c:strCache>
                <c:ptCount val="1"/>
                <c:pt idx="0">
                  <c:v>Store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dashboard!$K$14:$K$19</c:f>
              <c:strCache>
                <c:ptCount val="5"/>
                <c:pt idx="0">
                  <c:v>Akdeniz</c:v>
                </c:pt>
                <c:pt idx="1">
                  <c:v>Ege</c:v>
                </c:pt>
                <c:pt idx="2">
                  <c:v>İç Anadolu</c:v>
                </c:pt>
                <c:pt idx="3">
                  <c:v>Karadeniz</c:v>
                </c:pt>
                <c:pt idx="4">
                  <c:v>Marmara</c:v>
                </c:pt>
              </c:strCache>
            </c:strRef>
          </c:cat>
          <c:val>
            <c:numRef>
              <c:f>dashboard!$M$14:$M$19</c:f>
              <c:numCache>
                <c:formatCode>General</c:formatCode>
                <c:ptCount val="5"/>
                <c:pt idx="0">
                  <c:v>14200</c:v>
                </c:pt>
                <c:pt idx="1">
                  <c:v>5600</c:v>
                </c:pt>
                <c:pt idx="3">
                  <c:v>350</c:v>
                </c:pt>
                <c:pt idx="4">
                  <c:v>18850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0-49EF-B496-8474CDA67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4229615"/>
        <c:axId val="564238255"/>
      </c:barChart>
      <c:catAx>
        <c:axId val="56422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4238255"/>
        <c:crosses val="autoZero"/>
        <c:auto val="1"/>
        <c:lblAlgn val="ctr"/>
        <c:lblOffset val="100"/>
        <c:noMultiLvlLbl val="0"/>
      </c:catAx>
      <c:valAx>
        <c:axId val="56423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422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[crm_customer_loyalty_data.xlsx]dashboard!PivotTable6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46-4096-8C1E-8475BA1A3D1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46-4096-8C1E-8475BA1A3D1B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46-4096-8C1E-8475BA1A3D1B}"/>
              </c:ext>
            </c:extLst>
          </c:dPt>
          <c:cat>
            <c:strRef>
              <c:f>dashboard!$A$25:$A$28</c:f>
              <c:strCache>
                <c:ptCount val="3"/>
                <c:pt idx="0">
                  <c:v>Gold</c:v>
                </c:pt>
                <c:pt idx="1">
                  <c:v>Silver</c:v>
                </c:pt>
                <c:pt idx="2">
                  <c:v>Standart</c:v>
                </c:pt>
              </c:strCache>
            </c:strRef>
          </c:cat>
          <c:val>
            <c:numRef>
              <c:f>dashboard!$B$25:$B$28</c:f>
              <c:numCache>
                <c:formatCode>General</c:formatCode>
                <c:ptCount val="3"/>
                <c:pt idx="0">
                  <c:v>59200</c:v>
                </c:pt>
                <c:pt idx="1">
                  <c:v>12000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46-4096-8C1E-8475BA1A3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[crm_customer_loyalty_data.xlsx]dashboard!PivotTable3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dashboard!$G$12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dashboard!$F$13:$F$17</c:f>
              <c:strCache>
                <c:ptCount val="4"/>
                <c:pt idx="0">
                  <c:v>Books</c:v>
                </c:pt>
                <c:pt idx="1">
                  <c:v>Cosmetics</c:v>
                </c:pt>
                <c:pt idx="2">
                  <c:v>Electronics</c:v>
                </c:pt>
                <c:pt idx="3">
                  <c:v>Fashion</c:v>
                </c:pt>
              </c:strCache>
            </c:strRef>
          </c:cat>
          <c:val>
            <c:numRef>
              <c:f>dashboard!$G$13:$G$17</c:f>
              <c:numCache>
                <c:formatCode>"₺"#,##0.00</c:formatCode>
                <c:ptCount val="4"/>
                <c:pt idx="0">
                  <c:v>1300</c:v>
                </c:pt>
                <c:pt idx="1">
                  <c:v>9900</c:v>
                </c:pt>
                <c:pt idx="2">
                  <c:v>39000</c:v>
                </c:pt>
                <c:pt idx="3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D-43F1-AD93-8E4CC2154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178879"/>
        <c:axId val="423170239"/>
      </c:barChart>
      <c:catAx>
        <c:axId val="42317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3170239"/>
        <c:crosses val="autoZero"/>
        <c:auto val="1"/>
        <c:lblAlgn val="ctr"/>
        <c:lblOffset val="100"/>
        <c:noMultiLvlLbl val="0"/>
      </c:catAx>
      <c:valAx>
        <c:axId val="4231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231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[crm_customer_loyalty_data.xlsx]dashboard!PivotTable4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dashboard!$L$12:$L$13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dashboard!$K$14:$K$19</c:f>
              <c:strCache>
                <c:ptCount val="5"/>
                <c:pt idx="0">
                  <c:v>Akdeniz</c:v>
                </c:pt>
                <c:pt idx="1">
                  <c:v>Ege</c:v>
                </c:pt>
                <c:pt idx="2">
                  <c:v>İç Anadolu</c:v>
                </c:pt>
                <c:pt idx="3">
                  <c:v>Karadeniz</c:v>
                </c:pt>
                <c:pt idx="4">
                  <c:v>Marmara</c:v>
                </c:pt>
              </c:strCache>
            </c:strRef>
          </c:cat>
          <c:val>
            <c:numRef>
              <c:f>dashboard!$L$14:$L$19</c:f>
              <c:numCache>
                <c:formatCode>General</c:formatCode>
                <c:ptCount val="5"/>
                <c:pt idx="0">
                  <c:v>6000</c:v>
                </c:pt>
                <c:pt idx="1">
                  <c:v>10700</c:v>
                </c:pt>
                <c:pt idx="2">
                  <c:v>4800</c:v>
                </c:pt>
                <c:pt idx="4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8-44B9-8AF8-D0EB63891C16}"/>
            </c:ext>
          </c:extLst>
        </c:ser>
        <c:ser>
          <c:idx val="1"/>
          <c:order val="1"/>
          <c:tx>
            <c:strRef>
              <c:f>dashboard!$M$12:$M$13</c:f>
              <c:strCache>
                <c:ptCount val="1"/>
                <c:pt idx="0">
                  <c:v>Store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dashboard!$K$14:$K$19</c:f>
              <c:strCache>
                <c:ptCount val="5"/>
                <c:pt idx="0">
                  <c:v>Akdeniz</c:v>
                </c:pt>
                <c:pt idx="1">
                  <c:v>Ege</c:v>
                </c:pt>
                <c:pt idx="2">
                  <c:v>İç Anadolu</c:v>
                </c:pt>
                <c:pt idx="3">
                  <c:v>Karadeniz</c:v>
                </c:pt>
                <c:pt idx="4">
                  <c:v>Marmara</c:v>
                </c:pt>
              </c:strCache>
            </c:strRef>
          </c:cat>
          <c:val>
            <c:numRef>
              <c:f>dashboard!$M$14:$M$19</c:f>
              <c:numCache>
                <c:formatCode>General</c:formatCode>
                <c:ptCount val="5"/>
                <c:pt idx="0">
                  <c:v>14200</c:v>
                </c:pt>
                <c:pt idx="1">
                  <c:v>5600</c:v>
                </c:pt>
                <c:pt idx="3">
                  <c:v>350</c:v>
                </c:pt>
                <c:pt idx="4">
                  <c:v>18850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8-44B9-8AF8-D0EB63891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4229615"/>
        <c:axId val="564238255"/>
      </c:barChart>
      <c:catAx>
        <c:axId val="56422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4238255"/>
        <c:crosses val="autoZero"/>
        <c:auto val="1"/>
        <c:lblAlgn val="ctr"/>
        <c:lblOffset val="100"/>
        <c:noMultiLvlLbl val="0"/>
      </c:catAx>
      <c:valAx>
        <c:axId val="56423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6422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[crm_customer_loyalty_data.xlsx]dashboard!PivotTable6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dashboard!$A$25:$A$28</c:f>
              <c:strCache>
                <c:ptCount val="3"/>
                <c:pt idx="0">
                  <c:v>Gold</c:v>
                </c:pt>
                <c:pt idx="1">
                  <c:v>Silver</c:v>
                </c:pt>
                <c:pt idx="2">
                  <c:v>Standart</c:v>
                </c:pt>
              </c:strCache>
            </c:strRef>
          </c:cat>
          <c:val>
            <c:numRef>
              <c:f>dashboard!$B$25:$B$28</c:f>
              <c:numCache>
                <c:formatCode>General</c:formatCode>
                <c:ptCount val="3"/>
                <c:pt idx="0">
                  <c:v>59200</c:v>
                </c:pt>
                <c:pt idx="1">
                  <c:v>12000</c:v>
                </c:pt>
                <c:pt idx="2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3-4FAD-AB8C-E4489C255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559014</xdr:colOff>
      <xdr:row>18</xdr:row>
      <xdr:rowOff>170330</xdr:rowOff>
    </xdr:from>
    <xdr:to>
      <xdr:col>8</xdr:col>
      <xdr:colOff>706292</xdr:colOff>
      <xdr:row>31</xdr:row>
      <xdr:rowOff>89647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AB642493-5F37-4DCF-8DE5-4D423651A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749833</xdr:colOff>
      <xdr:row>20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2BFAF0AE-C934-40BD-A2FD-A77459EC7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544288</xdr:colOff>
      <xdr:row>11</xdr:row>
      <xdr:rowOff>11976</xdr:rowOff>
    </xdr:from>
    <xdr:to>
      <xdr:col>1</xdr:col>
      <xdr:colOff>1088574</xdr:colOff>
      <xdr:row>20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ge_group">
              <a:extLst>
                <a:ext uri="{FF2B5EF4-FFF2-40B4-BE49-F238E27FC236}">
                  <a16:creationId xmlns:a16="http://schemas.microsoft.com/office/drawing/2014/main" id="{1CE83101-0BB5-86D0-01DD-3897EA34E6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288" y="2076303"/>
              <a:ext cx="1818904" cy="16090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29</xdr:row>
      <xdr:rowOff>0</xdr:rowOff>
    </xdr:from>
    <xdr:to>
      <xdr:col>3</xdr:col>
      <xdr:colOff>489857</xdr:colOff>
      <xdr:row>39</xdr:row>
      <xdr:rowOff>152401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78201773-40E5-49F7-9A14-DC6B15C8D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605118</xdr:colOff>
      <xdr:row>14</xdr:row>
      <xdr:rowOff>165846</xdr:rowOff>
    </xdr:from>
    <xdr:to>
      <xdr:col>5</xdr:col>
      <xdr:colOff>35859</xdr:colOff>
      <xdr:row>30</xdr:row>
      <xdr:rowOff>170329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DB68811-82E1-4351-E504-77C19EFBB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670433</xdr:colOff>
      <xdr:row>16</xdr:row>
      <xdr:rowOff>58912</xdr:rowOff>
    </xdr:from>
    <xdr:to>
      <xdr:col>11</xdr:col>
      <xdr:colOff>902876</xdr:colOff>
      <xdr:row>31</xdr:row>
      <xdr:rowOff>112701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E2884B4-AEFD-102A-12A0-AE98B2599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892628</xdr:colOff>
      <xdr:row>15</xdr:row>
      <xdr:rowOff>27214</xdr:rowOff>
    </xdr:from>
    <xdr:to>
      <xdr:col>18</xdr:col>
      <xdr:colOff>21771</xdr:colOff>
      <xdr:row>28</xdr:row>
      <xdr:rowOff>87086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5AC36FF4-AC61-FCA2-B4B2-9655C119D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Barış Ergin" refreshedDate="46174.084288194441" createdVersion="8" refreshedVersion="8" minRefreshableVersion="3" recordCount="20" xr:uid="{7984780E-9AC7-40C0-A2A3-6778B569DC1C}">
  <cacheSource type="worksheet">
    <worksheetSource name="Tablo2"/>
  </cacheSource>
  <cacheFields count="8">
    <cacheField name="transaction_id" numFmtId="0">
      <sharedItems containsSemiMixedTypes="0" containsString="0" containsNumber="1" containsInteger="1" minValue="1" maxValue="20"/>
    </cacheField>
    <cacheField name="customer_id" numFmtId="0">
      <sharedItems containsSemiMixedTypes="0" containsString="0" containsNumber="1" containsInteger="1" minValue="101" maxValue="110"/>
    </cacheField>
    <cacheField name="transaction_date" numFmtId="14">
      <sharedItems containsSemiMixedTypes="0" containsNonDate="0" containsDate="1" containsString="0" minDate="2025-01-10T00:00:00" maxDate="2025-05-26T00:00:00"/>
    </cacheField>
    <cacheField name="category" numFmtId="0">
      <sharedItems count="4">
        <s v="Electronics"/>
        <s v="Fashion"/>
        <s v="Cosmetics"/>
        <s v="Books"/>
      </sharedItems>
    </cacheField>
    <cacheField name="amount" numFmtId="168">
      <sharedItems containsSemiMixedTypes="0" containsString="0" containsNumber="1" containsInteger="1" minValue="350" maxValue="12000"/>
    </cacheField>
    <cacheField name="product_count" numFmtId="0">
      <sharedItems containsSemiMixedTypes="0" containsString="0" containsNumber="1" containsInteger="1" minValue="1" maxValue="5"/>
    </cacheField>
    <cacheField name="payment_method" numFmtId="0">
      <sharedItems/>
    </cacheField>
    <cacheField name="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ir Barış Ergin" refreshedDate="46174.101816203707" backgroundQuery="1" createdVersion="8" refreshedVersion="8" minRefreshableVersion="3" recordCount="0" supportSubquery="1" supportAdvancedDrill="1" xr:uid="{EA3286FB-7C4B-470B-85C0-B207366779F4}">
  <cacheSource type="external" connectionId="1"/>
  <cacheFields count="4">
    <cacheField name="[Tablo1].[region].[region]" caption="region" numFmtId="0" hierarchy="4" level="1">
      <sharedItems count="5">
        <s v="Akdeniz"/>
        <s v="Ege"/>
        <s v="İç Anadolu"/>
        <s v="Karadeniz"/>
        <s v="Marmara"/>
      </sharedItems>
    </cacheField>
    <cacheField name="[Measures].[Toplam veri: amount]" caption="Toplam veri: amount" numFmtId="0" hierarchy="18" level="32767"/>
    <cacheField name="[Tablo2].[channel].[channel]" caption="channel" numFmtId="0" hierarchy="14" level="1">
      <sharedItems count="2">
        <s v="Online"/>
        <s v="Store"/>
      </sharedItems>
    </cacheField>
    <cacheField name="[Tablo1].[age_group].[age_group]" caption="age_group" numFmtId="0" hierarchy="2" level="1">
      <sharedItems containsSemiMixedTypes="0" containsNonDate="0" containsString="0"/>
    </cacheField>
  </cacheFields>
  <cacheHierarchies count="19">
    <cacheHierarchy uniqueName="[Tablo1].[customer_id]" caption="customer_id" attribute="1" defaultMemberUniqueName="[Tablo1].[customer_id].[All]" allUniqueName="[Tablo1].[customer_id].[All]" dimensionUniqueName="[Tablo1]" displayFolder="" count="2" memberValueDatatype="20" unbalanced="0"/>
    <cacheHierarchy uniqueName="[Tablo1].[customer_name]" caption="customer_name" attribute="1" defaultMemberUniqueName="[Tablo1].[customer_name].[All]" allUniqueName="[Tablo1].[customer_name].[All]" dimensionUniqueName="[Tablo1]" displayFolder="" count="2" memberValueDatatype="130" unbalanced="0"/>
    <cacheHierarchy uniqueName="[Tablo1].[age_group]" caption="age_group" attribute="1" defaultMemberUniqueName="[Tablo1].[age_group].[All]" allUniqueName="[Tablo1].[age_group].[All]" dimensionUniqueName="[Tablo1]" displayFolder="" count="2" memberValueDatatype="130" unbalanced="0">
      <fieldsUsage count="2">
        <fieldUsage x="-1"/>
        <fieldUsage x="3"/>
      </fieldsUsage>
    </cacheHierarchy>
    <cacheHierarchy uniqueName="[Tablo1].[gender]" caption="gender" attribute="1" defaultMemberUniqueName="[Tablo1].[gender].[All]" allUniqueName="[Tablo1].[gender].[All]" dimensionUniqueName="[Tablo1]" displayFolder="" count="2" memberValueDatatype="130" unbalanced="0"/>
    <cacheHierarchy uniqueName="[Tablo1].[region]" caption="region" attribute="1" defaultMemberUniqueName="[Tablo1].[region].[All]" allUniqueName="[Tablo1].[region].[All]" dimensionUniqueName="[Tablo1]" displayFolder="" count="2" memberValueDatatype="130" unbalanced="0">
      <fieldsUsage count="2">
        <fieldUsage x="-1"/>
        <fieldUsage x="0"/>
      </fieldsUsage>
    </cacheHierarchy>
    <cacheHierarchy uniqueName="[Tablo1].[membership_type]" caption="membership_type" attribute="1" defaultMemberUniqueName="[Tablo1].[membership_type].[All]" allUniqueName="[Tablo1].[membership_type].[All]" dimensionUniqueName="[Tablo1]" displayFolder="" count="2" memberValueDatatype="130" unbalanced="0"/>
    <cacheHierarchy uniqueName="[Tablo1].[join date]" caption="join date" attribute="1" time="1" defaultMemberUniqueName="[Tablo1].[join date].[All]" allUniqueName="[Tablo1].[join date].[All]" dimensionUniqueName="[Tablo1]" displayFolder="" count="2" memberValueDatatype="7" unbalanced="0"/>
    <cacheHierarchy uniqueName="[Tablo2].[transaction_id]" caption="transaction_id" attribute="1" defaultMemberUniqueName="[Tablo2].[transaction_id].[All]" allUniqueName="[Tablo2].[transaction_id].[All]" dimensionUniqueName="[Tablo2]" displayFolder="" count="2" memberValueDatatype="20" unbalanced="0"/>
    <cacheHierarchy uniqueName="[Tablo2].[customer_id]" caption="customer_id" attribute="1" defaultMemberUniqueName="[Tablo2].[customer_id].[All]" allUniqueName="[Tablo2].[customer_id].[All]" dimensionUniqueName="[Tablo2]" displayFolder="" count="2" memberValueDatatype="20" unbalanced="0"/>
    <cacheHierarchy uniqueName="[Tablo2].[transaction_date]" caption="transaction_date" attribute="1" time="1" defaultMemberUniqueName="[Tablo2].[transaction_date].[All]" allUniqueName="[Tablo2].[transaction_date].[All]" dimensionUniqueName="[Tablo2]" displayFolder="" count="2" memberValueDatatype="7" unbalanced="0"/>
    <cacheHierarchy uniqueName="[Tablo2].[category]" caption="category" attribute="1" defaultMemberUniqueName="[Tablo2].[category].[All]" allUniqueName="[Tablo2].[category].[All]" dimensionUniqueName="[Tablo2]" displayFolder="" count="2" memberValueDatatype="130" unbalanced="0"/>
    <cacheHierarchy uniqueName="[Tablo2].[amount]" caption="amount" attribute="1" defaultMemberUniqueName="[Tablo2].[amount].[All]" allUniqueName="[Tablo2].[amount].[All]" dimensionUniqueName="[Tablo2]" displayFolder="" count="2" memberValueDatatype="20" unbalanced="0"/>
    <cacheHierarchy uniqueName="[Tablo2].[product_count]" caption="product_count" attribute="1" defaultMemberUniqueName="[Tablo2].[product_count].[All]" allUniqueName="[Tablo2].[product_count].[All]" dimensionUniqueName="[Tablo2]" displayFolder="" count="2" memberValueDatatype="20" unbalanced="0"/>
    <cacheHierarchy uniqueName="[Tablo2].[payment_method]" caption="payment_method" attribute="1" defaultMemberUniqueName="[Tablo2].[payment_method].[All]" allUniqueName="[Tablo2].[payment_method].[All]" dimensionUniqueName="[Tablo2]" displayFolder="" count="2" memberValueDatatype="130" unbalanced="0"/>
    <cacheHierarchy uniqueName="[Tablo2].[channel]" caption="channel" attribute="1" defaultMemberUniqueName="[Tablo2].[channel].[All]" allUniqueName="[Tablo2].[channel].[All]" dimensionUniqueName="[Tablo2]" displayFolder="" count="2" memberValueDatatype="130" unbalanced="0">
      <fieldsUsage count="2">
        <fieldUsage x="-1"/>
        <fieldUsage x="2"/>
      </fieldsUsage>
    </cacheHierarchy>
    <cacheHierarchy uniqueName="[Measures].[__XL_Count Tablo2]" caption="__XL_Count Tablo2" measure="1" displayFolder="" measureGroup="Tablo2" count="0" hidden="1"/>
    <cacheHierarchy uniqueName="[Measures].[__XL_Count Tablo1]" caption="__XL_Count Tablo1" measure="1" displayFolder="" measureGroup="Tablo1" count="0" hidden="1"/>
    <cacheHierarchy uniqueName="[Measures].[__No measures defined]" caption="__No measures defined" measure="1" displayFolder="" count="0" hidden="1"/>
    <cacheHierarchy uniqueName="[Measures].[Toplam veri: amount]" caption="Toplam veri: amount" measure="1" displayFolder="" measureGroup="Tablo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o1" uniqueName="[Tablo1]" caption="Tablo1"/>
    <dimension name="Tablo2" uniqueName="[Tablo2]" caption="Tablo2"/>
  </dimensions>
  <measureGroups count="2">
    <measureGroup name="Tablo1" caption="Tablo1"/>
    <measureGroup name="Tablo2" caption="Tablo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ir Barış Ergin" refreshedDate="46174.101816550923" backgroundQuery="1" createdVersion="8" refreshedVersion="8" minRefreshableVersion="3" recordCount="0" supportSubquery="1" supportAdvancedDrill="1" xr:uid="{4D029753-9912-4418-9436-D3314B18D743}">
  <cacheSource type="external" connectionId="1"/>
  <cacheFields count="3">
    <cacheField name="[Tablo1].[membership_type].[membership_type]" caption="membership_type" numFmtId="0" hierarchy="5" level="1">
      <sharedItems count="3">
        <s v="Gold"/>
        <s v="Silver"/>
        <s v="Standart"/>
      </sharedItems>
    </cacheField>
    <cacheField name="[Measures].[Toplam veri: amount]" caption="Toplam veri: amount" numFmtId="0" hierarchy="18" level="32767"/>
    <cacheField name="[Tablo1].[age_group].[age_group]" caption="age_group" numFmtId="0" hierarchy="2" level="1">
      <sharedItems containsSemiMixedTypes="0" containsNonDate="0" containsString="0"/>
    </cacheField>
  </cacheFields>
  <cacheHierarchies count="19">
    <cacheHierarchy uniqueName="[Tablo1].[customer_id]" caption="customer_id" attribute="1" defaultMemberUniqueName="[Tablo1].[customer_id].[All]" allUniqueName="[Tablo1].[customer_id].[All]" dimensionUniqueName="[Tablo1]" displayFolder="" count="0" memberValueDatatype="20" unbalanced="0"/>
    <cacheHierarchy uniqueName="[Tablo1].[customer_name]" caption="customer_name" attribute="1" defaultMemberUniqueName="[Tablo1].[customer_name].[All]" allUniqueName="[Tablo1].[customer_name].[All]" dimensionUniqueName="[Tablo1]" displayFolder="" count="0" memberValueDatatype="130" unbalanced="0"/>
    <cacheHierarchy uniqueName="[Tablo1].[age_group]" caption="age_group" attribute="1" defaultMemberUniqueName="[Tablo1].[age_group].[All]" allUniqueName="[Tablo1].[age_group].[All]" dimensionUniqueName="[Tablo1]" displayFolder="" count="2" memberValueDatatype="130" unbalanced="0">
      <fieldsUsage count="2">
        <fieldUsage x="-1"/>
        <fieldUsage x="2"/>
      </fieldsUsage>
    </cacheHierarchy>
    <cacheHierarchy uniqueName="[Tablo1].[gender]" caption="gender" attribute="1" defaultMemberUniqueName="[Tablo1].[gender].[All]" allUniqueName="[Tablo1].[gender].[All]" dimensionUniqueName="[Tablo1]" displayFolder="" count="0" memberValueDatatype="130" unbalanced="0"/>
    <cacheHierarchy uniqueName="[Tablo1].[region]" caption="region" attribute="1" defaultMemberUniqueName="[Tablo1].[region].[All]" allUniqueName="[Tablo1].[region].[All]" dimensionUniqueName="[Tablo1]" displayFolder="" count="0" memberValueDatatype="130" unbalanced="0"/>
    <cacheHierarchy uniqueName="[Tablo1].[membership_type]" caption="membership_type" attribute="1" defaultMemberUniqueName="[Tablo1].[membership_type].[All]" allUniqueName="[Tablo1].[membership_type].[All]" dimensionUniqueName="[Tablo1]" displayFolder="" count="2" memberValueDatatype="130" unbalanced="0">
      <fieldsUsage count="2">
        <fieldUsage x="-1"/>
        <fieldUsage x="0"/>
      </fieldsUsage>
    </cacheHierarchy>
    <cacheHierarchy uniqueName="[Tablo1].[join date]" caption="join date" attribute="1" time="1" defaultMemberUniqueName="[Tablo1].[join date].[All]" allUniqueName="[Tablo1].[join date].[All]" dimensionUniqueName="[Tablo1]" displayFolder="" count="0" memberValueDatatype="7" unbalanced="0"/>
    <cacheHierarchy uniqueName="[Tablo2].[transaction_id]" caption="transaction_id" attribute="1" defaultMemberUniqueName="[Tablo2].[transaction_id].[All]" allUniqueName="[Tablo2].[transaction_id].[All]" dimensionUniqueName="[Tablo2]" displayFolder="" count="0" memberValueDatatype="20" unbalanced="0"/>
    <cacheHierarchy uniqueName="[Tablo2].[customer_id]" caption="customer_id" attribute="1" defaultMemberUniqueName="[Tablo2].[customer_id].[All]" allUniqueName="[Tablo2].[customer_id].[All]" dimensionUniqueName="[Tablo2]" displayFolder="" count="0" memberValueDatatype="20" unbalanced="0"/>
    <cacheHierarchy uniqueName="[Tablo2].[transaction_date]" caption="transaction_date" attribute="1" time="1" defaultMemberUniqueName="[Tablo2].[transaction_date].[All]" allUniqueName="[Tablo2].[transaction_date].[All]" dimensionUniqueName="[Tablo2]" displayFolder="" count="0" memberValueDatatype="7" unbalanced="0"/>
    <cacheHierarchy uniqueName="[Tablo2].[category]" caption="category" attribute="1" defaultMemberUniqueName="[Tablo2].[category].[All]" allUniqueName="[Tablo2].[category].[All]" dimensionUniqueName="[Tablo2]" displayFolder="" count="0" memberValueDatatype="130" unbalanced="0"/>
    <cacheHierarchy uniqueName="[Tablo2].[amount]" caption="amount" attribute="1" defaultMemberUniqueName="[Tablo2].[amount].[All]" allUniqueName="[Tablo2].[amount].[All]" dimensionUniqueName="[Tablo2]" displayFolder="" count="0" memberValueDatatype="20" unbalanced="0"/>
    <cacheHierarchy uniqueName="[Tablo2].[product_count]" caption="product_count" attribute="1" defaultMemberUniqueName="[Tablo2].[product_count].[All]" allUniqueName="[Tablo2].[product_count].[All]" dimensionUniqueName="[Tablo2]" displayFolder="" count="0" memberValueDatatype="20" unbalanced="0"/>
    <cacheHierarchy uniqueName="[Tablo2].[payment_method]" caption="payment_method" attribute="1" defaultMemberUniqueName="[Tablo2].[payment_method].[All]" allUniqueName="[Tablo2].[payment_method].[All]" dimensionUniqueName="[Tablo2]" displayFolder="" count="0" memberValueDatatype="130" unbalanced="0"/>
    <cacheHierarchy uniqueName="[Tablo2].[channel]" caption="channel" attribute="1" defaultMemberUniqueName="[Tablo2].[channel].[All]" allUniqueName="[Tablo2].[channel].[All]" dimensionUniqueName="[Tablo2]" displayFolder="" count="0" memberValueDatatype="130" unbalanced="0"/>
    <cacheHierarchy uniqueName="[Measures].[__XL_Count Tablo2]" caption="__XL_Count Tablo2" measure="1" displayFolder="" measureGroup="Tablo2" count="0" hidden="1"/>
    <cacheHierarchy uniqueName="[Measures].[__XL_Count Tablo1]" caption="__XL_Count Tablo1" measure="1" displayFolder="" measureGroup="Tablo1" count="0" hidden="1"/>
    <cacheHierarchy uniqueName="[Measures].[__No measures defined]" caption="__No measures defined" measure="1" displayFolder="" count="0" hidden="1"/>
    <cacheHierarchy uniqueName="[Measures].[Toplam veri: amount]" caption="Toplam veri: amount" measure="1" displayFolder="" measureGroup="Tablo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measure="1" name="Measures" uniqueName="[Measures]" caption="Measures"/>
    <dimension name="Tablo1" uniqueName="[Tablo1]" caption="Tablo1"/>
    <dimension name="Tablo2" uniqueName="[Tablo2]" caption="Tablo2"/>
  </dimensions>
  <measureGroups count="2">
    <measureGroup name="Tablo1" caption="Tablo1"/>
    <measureGroup name="Tablo2" caption="Tablo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mir Barış Ergin" refreshedDate="46174.099191203706" backgroundQuery="1" createdVersion="3" refreshedVersion="8" minRefreshableVersion="3" recordCount="0" supportSubquery="1" supportAdvancedDrill="1" xr:uid="{F2075320-E7CA-4020-9725-7A97D059839E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9">
    <cacheHierarchy uniqueName="[Tablo1].[customer_id]" caption="customer_id" attribute="1" defaultMemberUniqueName="[Tablo1].[customer_id].[All]" allUniqueName="[Tablo1].[customer_id].[All]" dimensionUniqueName="[Tablo1]" displayFolder="" count="0" memberValueDatatype="20" unbalanced="0"/>
    <cacheHierarchy uniqueName="[Tablo1].[customer_name]" caption="customer_name" attribute="1" defaultMemberUniqueName="[Tablo1].[customer_name].[All]" allUniqueName="[Tablo1].[customer_name].[All]" dimensionUniqueName="[Tablo1]" displayFolder="" count="0" memberValueDatatype="130" unbalanced="0"/>
    <cacheHierarchy uniqueName="[Tablo1].[age_group]" caption="age_group" attribute="1" defaultMemberUniqueName="[Tablo1].[age_group].[All]" allUniqueName="[Tablo1].[age_group].[All]" dimensionUniqueName="[Tablo1]" displayFolder="" count="2" memberValueDatatype="130" unbalanced="0"/>
    <cacheHierarchy uniqueName="[Tablo1].[gender]" caption="gender" attribute="1" defaultMemberUniqueName="[Tablo1].[gender].[All]" allUniqueName="[Tablo1].[gender].[All]" dimensionUniqueName="[Tablo1]" displayFolder="" count="0" memberValueDatatype="130" unbalanced="0"/>
    <cacheHierarchy uniqueName="[Tablo1].[region]" caption="region" attribute="1" defaultMemberUniqueName="[Tablo1].[region].[All]" allUniqueName="[Tablo1].[region].[All]" dimensionUniqueName="[Tablo1]" displayFolder="" count="0" memberValueDatatype="130" unbalanced="0"/>
    <cacheHierarchy uniqueName="[Tablo1].[membership_type]" caption="membership_type" attribute="1" defaultMemberUniqueName="[Tablo1].[membership_type].[All]" allUniqueName="[Tablo1].[membership_type].[All]" dimensionUniqueName="[Tablo1]" displayFolder="" count="0" memberValueDatatype="130" unbalanced="0"/>
    <cacheHierarchy uniqueName="[Tablo1].[join date]" caption="join date" attribute="1" time="1" defaultMemberUniqueName="[Tablo1].[join date].[All]" allUniqueName="[Tablo1].[join date].[All]" dimensionUniqueName="[Tablo1]" displayFolder="" count="0" memberValueDatatype="7" unbalanced="0"/>
    <cacheHierarchy uniqueName="[Tablo2].[transaction_id]" caption="transaction_id" attribute="1" defaultMemberUniqueName="[Tablo2].[transaction_id].[All]" allUniqueName="[Tablo2].[transaction_id].[All]" dimensionUniqueName="[Tablo2]" displayFolder="" count="0" memberValueDatatype="20" unbalanced="0"/>
    <cacheHierarchy uniqueName="[Tablo2].[customer_id]" caption="customer_id" attribute="1" defaultMemberUniqueName="[Tablo2].[customer_id].[All]" allUniqueName="[Tablo2].[customer_id].[All]" dimensionUniqueName="[Tablo2]" displayFolder="" count="0" memberValueDatatype="20" unbalanced="0"/>
    <cacheHierarchy uniqueName="[Tablo2].[transaction_date]" caption="transaction_date" attribute="1" time="1" defaultMemberUniqueName="[Tablo2].[transaction_date].[All]" allUniqueName="[Tablo2].[transaction_date].[All]" dimensionUniqueName="[Tablo2]" displayFolder="" count="0" memberValueDatatype="7" unbalanced="0"/>
    <cacheHierarchy uniqueName="[Tablo2].[category]" caption="category" attribute="1" defaultMemberUniqueName="[Tablo2].[category].[All]" allUniqueName="[Tablo2].[category].[All]" dimensionUniqueName="[Tablo2]" displayFolder="" count="0" memberValueDatatype="130" unbalanced="0"/>
    <cacheHierarchy uniqueName="[Tablo2].[amount]" caption="amount" attribute="1" defaultMemberUniqueName="[Tablo2].[amount].[All]" allUniqueName="[Tablo2].[amount].[All]" dimensionUniqueName="[Tablo2]" displayFolder="" count="0" memberValueDatatype="20" unbalanced="0"/>
    <cacheHierarchy uniqueName="[Tablo2].[product_count]" caption="product_count" attribute="1" defaultMemberUniqueName="[Tablo2].[product_count].[All]" allUniqueName="[Tablo2].[product_count].[All]" dimensionUniqueName="[Tablo2]" displayFolder="" count="0" memberValueDatatype="20" unbalanced="0"/>
    <cacheHierarchy uniqueName="[Tablo2].[payment_method]" caption="payment_method" attribute="1" defaultMemberUniqueName="[Tablo2].[payment_method].[All]" allUniqueName="[Tablo2].[payment_method].[All]" dimensionUniqueName="[Tablo2]" displayFolder="" count="0" memberValueDatatype="130" unbalanced="0"/>
    <cacheHierarchy uniqueName="[Tablo2].[channel]" caption="channel" attribute="1" defaultMemberUniqueName="[Tablo2].[channel].[All]" allUniqueName="[Tablo2].[channel].[All]" dimensionUniqueName="[Tablo2]" displayFolder="" count="0" memberValueDatatype="130" unbalanced="0"/>
    <cacheHierarchy uniqueName="[Measures].[__XL_Count Tablo2]" caption="__XL_Count Tablo2" measure="1" displayFolder="" measureGroup="Tablo2" count="0" hidden="1"/>
    <cacheHierarchy uniqueName="[Measures].[__XL_Count Tablo1]" caption="__XL_Count Tablo1" measure="1" displayFolder="" measureGroup="Tablo1" count="0" hidden="1"/>
    <cacheHierarchy uniqueName="[Measures].[__No measures defined]" caption="__No measures defined" measure="1" displayFolder="" count="0" hidden="1"/>
    <cacheHierarchy uniqueName="[Measures].[Toplam veri: amount]" caption="Toplam veri: amount" measure="1" displayFolder="" measureGroup="Tablo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60348667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n v="101"/>
    <d v="2025-01-10T00:00:00"/>
    <x v="0"/>
    <n v="4500"/>
    <n v="2"/>
    <s v="Credit Card"/>
    <s v="Online"/>
  </r>
  <r>
    <n v="2"/>
    <n v="101"/>
    <d v="2025-02-15T00:00:00"/>
    <x v="1"/>
    <n v="3500"/>
    <n v="1"/>
    <s v="Cash"/>
    <s v="Store"/>
  </r>
  <r>
    <n v="3"/>
    <n v="102"/>
    <d v="2025-01-12T00:00:00"/>
    <x v="2"/>
    <n v="1200"/>
    <n v="1"/>
    <s v="Credit Card"/>
    <s v="Online"/>
  </r>
  <r>
    <n v="4"/>
    <n v="103"/>
    <d v="2025-03-01T00:00:00"/>
    <x v="3"/>
    <n v="500"/>
    <n v="1"/>
    <s v="Debit Card"/>
    <s v="Online"/>
  </r>
  <r>
    <n v="5"/>
    <n v="104"/>
    <d v="2025-02-28T00:00:00"/>
    <x v="0"/>
    <n v="8000"/>
    <n v="4"/>
    <s v="Credit Card"/>
    <s v="Store"/>
  </r>
  <r>
    <n v="6"/>
    <n v="104"/>
    <d v="2025-04-10T00:00:00"/>
    <x v="1"/>
    <n v="7500"/>
    <n v="3"/>
    <s v="Credit Card"/>
    <s v="Online"/>
  </r>
  <r>
    <n v="7"/>
    <n v="101"/>
    <d v="2025-05-01T00:00:00"/>
    <x v="0"/>
    <n v="5000"/>
    <n v="2"/>
    <s v="Credit Card"/>
    <s v="Store"/>
  </r>
  <r>
    <n v="8"/>
    <n v="105"/>
    <d v="2025-03-15T00:00:00"/>
    <x v="2"/>
    <n v="2200"/>
    <n v="2"/>
    <s v="Debit Card"/>
    <s v="Store"/>
  </r>
  <r>
    <n v="9"/>
    <n v="105"/>
    <d v="2025-04-20T00:00:00"/>
    <x v="1"/>
    <n v="1800"/>
    <n v="1"/>
    <s v="Cash"/>
    <s v="Online"/>
  </r>
  <r>
    <n v="10"/>
    <n v="106"/>
    <d v="2025-05-10T00:00:00"/>
    <x v="3"/>
    <n v="350"/>
    <n v="1"/>
    <s v="Debit Card"/>
    <s v="Store"/>
  </r>
  <r>
    <n v="11"/>
    <n v="107"/>
    <d v="2025-01-20T00:00:00"/>
    <x v="0"/>
    <n v="9500"/>
    <n v="3"/>
    <s v="Credit Card"/>
    <s v="Online"/>
  </r>
  <r>
    <n v="12"/>
    <n v="107"/>
    <d v="2025-03-22T00:00:00"/>
    <x v="2"/>
    <n v="3100"/>
    <n v="2"/>
    <s v="Credit Card"/>
    <s v="Store"/>
  </r>
  <r>
    <n v="13"/>
    <n v="108"/>
    <d v="2025-04-02T00:00:00"/>
    <x v="3"/>
    <n v="450"/>
    <n v="1"/>
    <s v="Cash"/>
    <s v="Store"/>
  </r>
  <r>
    <n v="14"/>
    <n v="109"/>
    <d v="2025-02-11T00:00:00"/>
    <x v="1"/>
    <n v="2800"/>
    <n v="2"/>
    <s v="Debit Card"/>
    <s v="Online"/>
  </r>
  <r>
    <n v="15"/>
    <n v="109"/>
    <d v="2025-05-14T00:00:00"/>
    <x v="2"/>
    <n v="1500"/>
    <n v="1"/>
    <s v="Credit Card"/>
    <s v="Online"/>
  </r>
  <r>
    <n v="16"/>
    <n v="110"/>
    <d v="2025-03-19T00:00:00"/>
    <x v="0"/>
    <n v="12000"/>
    <n v="5"/>
    <s v="Credit Card"/>
    <s v="Store"/>
  </r>
  <r>
    <n v="17"/>
    <n v="110"/>
    <d v="2025-05-25T00:00:00"/>
    <x v="1"/>
    <n v="4200"/>
    <n v="2"/>
    <s v="Credit Card"/>
    <s v="Online"/>
  </r>
  <r>
    <n v="18"/>
    <n v="102"/>
    <d v="2025-04-05T00:00:00"/>
    <x v="1"/>
    <n v="2500"/>
    <n v="2"/>
    <s v="Debit Card"/>
    <s v="Store"/>
  </r>
  <r>
    <n v="19"/>
    <n v="104"/>
    <d v="2025-05-02T00:00:00"/>
    <x v="2"/>
    <n v="1900"/>
    <n v="1"/>
    <s v="Cash"/>
    <s v="Store"/>
  </r>
  <r>
    <n v="20"/>
    <n v="108"/>
    <d v="2025-05-18T00:00:00"/>
    <x v="1"/>
    <n v="1200"/>
    <n v="1"/>
    <s v="Debit Card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30B19-B4F3-4A7D-A2E3-CBBEE1E151DA}" name="PivotTable6" cacheId="8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24:B28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veri: amount" fld="1" baseField="0" baseItem="0"/>
  </dataFields>
  <formats count="6"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9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o2]"/>
        <x15:activeTabTopLevelEntity name="[Tablo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B1066-C94F-44DB-BC1D-DDB415E5334C}" name="PivotTable4" cacheId="8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7">
  <location ref="K12:N19" firstHeaderRow="1" firstDataRow="2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Toplam veri: amount" fld="1" baseField="0" baseItem="0"/>
  </dataFields>
  <formats count="11">
    <format dxfId="189">
      <pivotArea type="all" dataOnly="0" outline="0" fieldPosition="0"/>
    </format>
    <format dxfId="190">
      <pivotArea outline="0" collapsedLevelsAreSubtotals="1" fieldPosition="0"/>
    </format>
    <format dxfId="191">
      <pivotArea type="origin" dataOnly="0" labelOnly="1" outline="0" fieldPosition="0"/>
    </format>
    <format dxfId="192">
      <pivotArea field="2" type="button" dataOnly="0" labelOnly="1" outline="0" axis="axisCol" fieldPosition="0"/>
    </format>
    <format dxfId="193">
      <pivotArea type="topRight" dataOnly="0" labelOnly="1" outline="0" fieldPosition="0"/>
    </format>
    <format dxfId="194">
      <pivotArea field="0" type="button" dataOnly="0" labelOnly="1" outline="0" axis="axisRow" fieldPosition="0"/>
    </format>
    <format dxfId="195">
      <pivotArea dataOnly="0" labelOnly="1" fieldPosition="0">
        <references count="1">
          <reference field="0" count="0"/>
        </references>
      </pivotArea>
    </format>
    <format dxfId="196">
      <pivotArea dataOnly="0" labelOnly="1" grandRow="1" outline="0" fieldPosition="0"/>
    </format>
    <format dxfId="197">
      <pivotArea dataOnly="0" labelOnly="1" fieldPosition="0">
        <references count="1">
          <reference field="2" count="0"/>
        </references>
      </pivotArea>
    </format>
    <format dxfId="198">
      <pivotArea dataOnly="0" labelOnly="1" grandCol="1" outline="0" fieldPosition="0"/>
    </format>
    <format dxfId="188">
      <pivotArea type="all" dataOnly="0" outline="0" fieldPosition="0"/>
    </format>
  </format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19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o2]"/>
        <x15:activeTabTopLevelEntity name="[Tablo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AC15D-E939-4623-A2F8-0062D4243FBF}" name="PivotTable3" cacheId="21" dataPosition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F12:G17" firstHeaderRow="1" firstDataRow="1" firstDataCol="1"/>
  <pivotFields count="8">
    <pivotField showAll="0"/>
    <pivotField showAll="0"/>
    <pivotField numFmtId="14" showAll="0"/>
    <pivotField axis="axisRow" showAll="0">
      <items count="5">
        <item x="3"/>
        <item x="2"/>
        <item x="0"/>
        <item x="1"/>
        <item t="default"/>
      </items>
    </pivotField>
    <pivotField dataField="1" numFmtId="168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amount" fld="4" baseField="0" baseItem="0" numFmtId="168"/>
  </dataFields>
  <formats count="24">
    <format dxfId="205">
      <pivotArea type="all" dataOnly="0" outline="0" fieldPosition="0"/>
    </format>
    <format dxfId="206">
      <pivotArea outline="0" collapsedLevelsAreSubtotals="1" fieldPosition="0"/>
    </format>
    <format dxfId="207">
      <pivotArea field="3" type="button" dataOnly="0" labelOnly="1" outline="0" axis="axisRow" fieldPosition="0"/>
    </format>
    <format dxfId="208">
      <pivotArea dataOnly="0" labelOnly="1" fieldPosition="0">
        <references count="1">
          <reference field="3" count="0"/>
        </references>
      </pivotArea>
    </format>
    <format dxfId="209">
      <pivotArea dataOnly="0" labelOnly="1" grandRow="1" outline="0" fieldPosition="0"/>
    </format>
    <format dxfId="2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1">
      <pivotArea type="all" dataOnly="0" outline="0" fieldPosition="0"/>
    </format>
    <format dxfId="212">
      <pivotArea outline="0" collapsedLevelsAreSubtotals="1" fieldPosition="0"/>
    </format>
    <format dxfId="213">
      <pivotArea field="3" type="button" dataOnly="0" labelOnly="1" outline="0" axis="axisRow" fieldPosition="0"/>
    </format>
    <format dxfId="214">
      <pivotArea dataOnly="0" labelOnly="1" fieldPosition="0">
        <references count="1">
          <reference field="3" count="0"/>
        </references>
      </pivotArea>
    </format>
    <format dxfId="215">
      <pivotArea dataOnly="0" labelOnly="1" grandRow="1" outline="0" fieldPosition="0"/>
    </format>
    <format dxfId="2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7">
      <pivotArea type="all" dataOnly="0" outline="0" fieldPosition="0"/>
    </format>
    <format dxfId="218">
      <pivotArea outline="0" collapsedLevelsAreSubtotals="1" fieldPosition="0"/>
    </format>
    <format dxfId="219">
      <pivotArea field="3" type="button" dataOnly="0" labelOnly="1" outline="0" axis="axisRow" fieldPosition="0"/>
    </format>
    <format dxfId="220">
      <pivotArea dataOnly="0" labelOnly="1" fieldPosition="0">
        <references count="1">
          <reference field="3" count="0"/>
        </references>
      </pivotArea>
    </format>
    <format dxfId="221">
      <pivotArea dataOnly="0" labelOnly="1" grandRow="1" outline="0" fieldPosition="0"/>
    </format>
    <format dxfId="2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3" type="button" dataOnly="0" labelOnly="1" outline="0" axis="axisRow" fieldPosition="0"/>
    </format>
    <format dxfId="201">
      <pivotArea dataOnly="0" labelOnly="1" fieldPosition="0">
        <references count="1">
          <reference field="3" count="0"/>
        </references>
      </pivotArea>
    </format>
    <format dxfId="200">
      <pivotArea dataOnly="0" labelOnly="1" grandRow="1" outline="0" fieldPosition="0"/>
    </format>
    <format dxfId="199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ge_group" xr10:uid="{29E3FC4F-B63D-46EB-8BD7-EBF3A70C4987}" sourceName="[Tablo1].[age_group]">
  <pivotTables>
    <pivotTable tabId="3" name="PivotTable4"/>
    <pivotTable tabId="3" name="PivotTable6"/>
  </pivotTables>
  <data>
    <olap pivotCacheId="560348667">
      <levels count="2">
        <level uniqueName="[Tablo1].[age_group].[(All)]" sourceCaption="(All)" count="0"/>
        <level uniqueName="[Tablo1].[age_group].[age_group]" sourceCaption="age_group" count="4">
          <ranges>
            <range startItem="0">
              <i n="[Tablo1].[age_group].&amp;[18-24]" c="18-24"/>
              <i n="[Tablo1].[age_group].&amp;[25-34]" c="25-34"/>
              <i n="[Tablo1].[age_group].&amp;[35-44]" c="35-44"/>
              <i n="[Tablo1].[age_group].&amp;[45+]" c="45+"/>
            </range>
          </ranges>
        </level>
      </levels>
      <selections count="1">
        <selection n="[Tablo1].[age_group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_group" xr10:uid="{3A779F5E-4177-4C02-86B5-42DB157E98FC}" cache="Dilimleyici_age_group" caption="age_group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EF735-BC36-498F-9C39-AC16D70CFD18}" name="Tablo1" displayName="Tablo1" ref="C4:I14" totalsRowShown="0" headerRowDxfId="252" dataDxfId="253" headerRowBorderDxfId="262" tableBorderDxfId="263" totalsRowBorderDxfId="261">
  <autoFilter ref="C4:I14" xr:uid="{1A9EF735-BC36-498F-9C39-AC16D70CFD18}"/>
  <tableColumns count="7">
    <tableColumn id="1" xr3:uid="{4896F212-D98D-476B-8880-B37D2574A7DE}" name="customer_id" dataDxfId="260"/>
    <tableColumn id="2" xr3:uid="{4E3EB105-F6BC-4410-8BB3-AB1AD2506221}" name="customer_name" dataDxfId="259"/>
    <tableColumn id="3" xr3:uid="{D5E0B187-F53F-48C9-A3ED-1B3839F1292B}" name="age_group" dataDxfId="258"/>
    <tableColumn id="4" xr3:uid="{F8136ECA-33AB-44D8-8CFD-A4660BB9EB9F}" name="gender" dataDxfId="257"/>
    <tableColumn id="5" xr3:uid="{CE39DDF1-9C96-4423-818A-6993CB86FDBB}" name="region" dataDxfId="256"/>
    <tableColumn id="6" xr3:uid="{CDA228BB-4F06-4601-A48D-50C6F277A3AB}" name="membership_type" dataDxfId="255"/>
    <tableColumn id="7" xr3:uid="{2CE02208-9C20-4C4C-BA65-CD4B6F42A20B}" name="join date" dataDxfId="2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DF978-8B4F-46C2-850D-B1C8D566EE91}" name="Tablo2" displayName="Tablo2" ref="C5:J25" totalsRowShown="0" headerRowDxfId="240" dataDxfId="241" headerRowBorderDxfId="250" tableBorderDxfId="251" totalsRowBorderDxfId="249">
  <autoFilter ref="C5:J25" xr:uid="{0FBDF978-8B4F-46C2-850D-B1C8D566EE91}"/>
  <tableColumns count="8">
    <tableColumn id="1" xr3:uid="{6384EFCD-414F-429E-B2BE-37634565CEDD}" name="transaction_id" dataDxfId="248"/>
    <tableColumn id="2" xr3:uid="{14A68935-5BA4-49CC-BF12-EC4D6F8901EA}" name="customer_id" dataDxfId="247"/>
    <tableColumn id="3" xr3:uid="{C5F490B9-EF8E-4DA9-BE14-41A2739580A5}" name="transaction_date" dataDxfId="246"/>
    <tableColumn id="4" xr3:uid="{289395B1-6BAF-4CAE-A05B-774DC0AE2898}" name="category" dataDxfId="245"/>
    <tableColumn id="5" xr3:uid="{F094986A-F883-4F2F-A4CD-EDFDE644F774}" name="amount" dataDxfId="239"/>
    <tableColumn id="6" xr3:uid="{02971928-67A9-4B2B-B397-FBD9D24F278A}" name="product_count" dataDxfId="244"/>
    <tableColumn id="7" xr3:uid="{8E0F8A77-96EB-40AA-B279-3999441D2CF0}" name="payment_method" dataDxfId="243"/>
    <tableColumn id="8" xr3:uid="{DCB85BE7-18EA-410E-8828-05D3703F45BD}" name="channel" dataDxfId="2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9F9A-02F4-4FE1-9D8A-2440413E7C1D}">
  <dimension ref="C4:I14"/>
  <sheetViews>
    <sheetView workbookViewId="0">
      <selection activeCell="H19" sqref="H19"/>
    </sheetView>
  </sheetViews>
  <sheetFormatPr defaultRowHeight="14.4" x14ac:dyDescent="0.3"/>
  <cols>
    <col min="3" max="3" width="15.88671875" customWidth="1"/>
    <col min="4" max="4" width="19.6640625" customWidth="1"/>
    <col min="5" max="5" width="14.109375" customWidth="1"/>
    <col min="6" max="6" width="10.21875" customWidth="1"/>
    <col min="7" max="7" width="9.5546875" bestFit="1" customWidth="1"/>
    <col min="8" max="8" width="21.5546875" customWidth="1"/>
    <col min="9" max="9" width="11.88671875" customWidth="1"/>
  </cols>
  <sheetData>
    <row r="4" spans="3:9" ht="15.6" x14ac:dyDescent="0.3">
      <c r="C4" s="7" t="s">
        <v>0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9" t="s">
        <v>6</v>
      </c>
    </row>
    <row r="5" spans="3:9" x14ac:dyDescent="0.3">
      <c r="C5" s="4">
        <v>101</v>
      </c>
      <c r="D5" s="2" t="s">
        <v>7</v>
      </c>
      <c r="E5" s="2" t="s">
        <v>17</v>
      </c>
      <c r="F5" s="2" t="s">
        <v>21</v>
      </c>
      <c r="G5" s="2" t="s">
        <v>23</v>
      </c>
      <c r="H5" s="2" t="s">
        <v>28</v>
      </c>
      <c r="I5" s="5">
        <v>45306</v>
      </c>
    </row>
    <row r="6" spans="3:9" x14ac:dyDescent="0.3">
      <c r="C6" s="4">
        <v>102</v>
      </c>
      <c r="D6" s="2" t="s">
        <v>8</v>
      </c>
      <c r="E6" s="2" t="s">
        <v>18</v>
      </c>
      <c r="F6" s="2" t="s">
        <v>22</v>
      </c>
      <c r="G6" s="2" t="s">
        <v>24</v>
      </c>
      <c r="H6" s="2" t="s">
        <v>29</v>
      </c>
      <c r="I6" s="6">
        <v>45342</v>
      </c>
    </row>
    <row r="7" spans="3:9" x14ac:dyDescent="0.3">
      <c r="C7" s="4">
        <v>103</v>
      </c>
      <c r="D7" s="2" t="s">
        <v>9</v>
      </c>
      <c r="E7" s="2" t="s">
        <v>19</v>
      </c>
      <c r="F7" s="2" t="s">
        <v>21</v>
      </c>
      <c r="G7" s="2" t="s">
        <v>25</v>
      </c>
      <c r="H7" s="2" t="s">
        <v>30</v>
      </c>
      <c r="I7" s="6">
        <v>45361</v>
      </c>
    </row>
    <row r="8" spans="3:9" x14ac:dyDescent="0.3">
      <c r="C8" s="4">
        <v>104</v>
      </c>
      <c r="D8" s="2" t="s">
        <v>10</v>
      </c>
      <c r="E8" s="2" t="s">
        <v>18</v>
      </c>
      <c r="F8" s="2" t="s">
        <v>22</v>
      </c>
      <c r="G8" s="2" t="s">
        <v>23</v>
      </c>
      <c r="H8" s="2" t="s">
        <v>28</v>
      </c>
      <c r="I8" s="6">
        <v>45387</v>
      </c>
    </row>
    <row r="9" spans="3:9" x14ac:dyDescent="0.3">
      <c r="C9" s="4">
        <v>105</v>
      </c>
      <c r="D9" s="2" t="s">
        <v>11</v>
      </c>
      <c r="E9" s="2" t="s">
        <v>17</v>
      </c>
      <c r="F9" s="2" t="s">
        <v>22</v>
      </c>
      <c r="G9" s="2" t="s">
        <v>26</v>
      </c>
      <c r="H9" s="2" t="s">
        <v>29</v>
      </c>
      <c r="I9" s="6">
        <v>45424</v>
      </c>
    </row>
    <row r="10" spans="3:9" x14ac:dyDescent="0.3">
      <c r="C10" s="4">
        <v>106</v>
      </c>
      <c r="D10" s="2" t="s">
        <v>12</v>
      </c>
      <c r="E10" s="2" t="s">
        <v>20</v>
      </c>
      <c r="F10" s="2" t="s">
        <v>21</v>
      </c>
      <c r="G10" s="2" t="s">
        <v>27</v>
      </c>
      <c r="H10" s="2" t="s">
        <v>30</v>
      </c>
      <c r="I10" s="6">
        <v>45444</v>
      </c>
    </row>
    <row r="11" spans="3:9" x14ac:dyDescent="0.3">
      <c r="C11" s="4">
        <v>107</v>
      </c>
      <c r="D11" s="2" t="s">
        <v>13</v>
      </c>
      <c r="E11" s="2" t="s">
        <v>17</v>
      </c>
      <c r="F11" s="2" t="s">
        <v>22</v>
      </c>
      <c r="G11" s="2" t="s">
        <v>24</v>
      </c>
      <c r="H11" s="2" t="s">
        <v>28</v>
      </c>
      <c r="I11" s="6">
        <v>45491</v>
      </c>
    </row>
    <row r="12" spans="3:9" x14ac:dyDescent="0.3">
      <c r="C12" s="4">
        <v>108</v>
      </c>
      <c r="D12" s="2" t="s">
        <v>14</v>
      </c>
      <c r="E12" s="2" t="s">
        <v>19</v>
      </c>
      <c r="F12" s="2" t="s">
        <v>21</v>
      </c>
      <c r="G12" s="2" t="s">
        <v>23</v>
      </c>
      <c r="H12" s="2" t="s">
        <v>30</v>
      </c>
      <c r="I12" s="6">
        <v>45526</v>
      </c>
    </row>
    <row r="13" spans="3:9" x14ac:dyDescent="0.3">
      <c r="C13" s="4">
        <v>109</v>
      </c>
      <c r="D13" s="2" t="s">
        <v>15</v>
      </c>
      <c r="E13" s="2" t="s">
        <v>18</v>
      </c>
      <c r="F13" s="2" t="s">
        <v>22</v>
      </c>
      <c r="G13" s="2" t="s">
        <v>25</v>
      </c>
      <c r="H13" s="2" t="s">
        <v>29</v>
      </c>
      <c r="I13" s="6">
        <v>45540</v>
      </c>
    </row>
    <row r="14" spans="3:9" x14ac:dyDescent="0.3">
      <c r="C14" s="10">
        <v>110</v>
      </c>
      <c r="D14" s="11" t="s">
        <v>16</v>
      </c>
      <c r="E14" s="11" t="s">
        <v>20</v>
      </c>
      <c r="F14" s="11" t="s">
        <v>21</v>
      </c>
      <c r="G14" s="11" t="s">
        <v>26</v>
      </c>
      <c r="H14" s="11" t="s">
        <v>28</v>
      </c>
      <c r="I14" s="12">
        <v>45577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A15D-47A6-4101-B647-701E3BC3A405}">
  <dimension ref="C5:J25"/>
  <sheetViews>
    <sheetView zoomScale="85" zoomScaleNormal="85" workbookViewId="0">
      <selection activeCell="C6" sqref="C6"/>
    </sheetView>
  </sheetViews>
  <sheetFormatPr defaultRowHeight="14.4" x14ac:dyDescent="0.3"/>
  <cols>
    <col min="2" max="2" width="7.5546875" customWidth="1"/>
    <col min="3" max="3" width="17.88671875" customWidth="1"/>
    <col min="4" max="4" width="15.88671875" customWidth="1"/>
    <col min="5" max="5" width="20.5546875" customWidth="1"/>
    <col min="6" max="6" width="13.77734375" customWidth="1"/>
    <col min="7" max="7" width="10.77734375" style="19" customWidth="1"/>
    <col min="8" max="8" width="18.33203125" customWidth="1"/>
    <col min="9" max="9" width="21" customWidth="1"/>
    <col min="10" max="10" width="11.109375" customWidth="1"/>
  </cols>
  <sheetData>
    <row r="5" spans="3:10" ht="14.4" customHeight="1" x14ac:dyDescent="0.3">
      <c r="C5" s="15" t="s">
        <v>34</v>
      </c>
      <c r="D5" s="8" t="s">
        <v>0</v>
      </c>
      <c r="E5" s="8" t="s">
        <v>35</v>
      </c>
      <c r="F5" s="8" t="s">
        <v>36</v>
      </c>
      <c r="G5" s="20" t="s">
        <v>37</v>
      </c>
      <c r="H5" s="8" t="s">
        <v>38</v>
      </c>
      <c r="I5" s="8" t="s">
        <v>39</v>
      </c>
      <c r="J5" s="9" t="s">
        <v>40</v>
      </c>
    </row>
    <row r="6" spans="3:10" x14ac:dyDescent="0.3">
      <c r="C6" s="4">
        <v>1</v>
      </c>
      <c r="D6" s="2">
        <v>101</v>
      </c>
      <c r="E6" s="3">
        <v>45667</v>
      </c>
      <c r="F6" s="2" t="s">
        <v>41</v>
      </c>
      <c r="G6" s="21">
        <v>4500</v>
      </c>
      <c r="H6" s="2">
        <v>2</v>
      </c>
      <c r="I6" s="2" t="s">
        <v>45</v>
      </c>
      <c r="J6" s="14" t="s">
        <v>48</v>
      </c>
    </row>
    <row r="7" spans="3:10" x14ac:dyDescent="0.3">
      <c r="C7" s="4">
        <v>2</v>
      </c>
      <c r="D7" s="2">
        <v>101</v>
      </c>
      <c r="E7" s="3">
        <v>45703</v>
      </c>
      <c r="F7" s="2" t="s">
        <v>42</v>
      </c>
      <c r="G7" s="21">
        <v>3500</v>
      </c>
      <c r="H7" s="2">
        <v>1</v>
      </c>
      <c r="I7" s="2" t="s">
        <v>46</v>
      </c>
      <c r="J7" s="14" t="s">
        <v>49</v>
      </c>
    </row>
    <row r="8" spans="3:10" x14ac:dyDescent="0.3">
      <c r="C8" s="4">
        <v>3</v>
      </c>
      <c r="D8" s="2">
        <v>102</v>
      </c>
      <c r="E8" s="3">
        <v>45669</v>
      </c>
      <c r="F8" s="2" t="s">
        <v>43</v>
      </c>
      <c r="G8" s="21">
        <v>1200</v>
      </c>
      <c r="H8" s="2">
        <v>1</v>
      </c>
      <c r="I8" s="2" t="s">
        <v>45</v>
      </c>
      <c r="J8" s="14" t="s">
        <v>48</v>
      </c>
    </row>
    <row r="9" spans="3:10" x14ac:dyDescent="0.3">
      <c r="C9" s="4">
        <v>4</v>
      </c>
      <c r="D9" s="2">
        <v>103</v>
      </c>
      <c r="E9" s="3">
        <v>45717</v>
      </c>
      <c r="F9" s="2" t="s">
        <v>44</v>
      </c>
      <c r="G9" s="21">
        <v>500</v>
      </c>
      <c r="H9" s="2">
        <v>1</v>
      </c>
      <c r="I9" s="2" t="s">
        <v>47</v>
      </c>
      <c r="J9" s="14" t="s">
        <v>48</v>
      </c>
    </row>
    <row r="10" spans="3:10" x14ac:dyDescent="0.3">
      <c r="C10" s="4">
        <v>5</v>
      </c>
      <c r="D10" s="2">
        <v>104</v>
      </c>
      <c r="E10" s="3">
        <v>45716</v>
      </c>
      <c r="F10" s="2" t="s">
        <v>41</v>
      </c>
      <c r="G10" s="21">
        <v>8000</v>
      </c>
      <c r="H10" s="2">
        <v>4</v>
      </c>
      <c r="I10" s="2" t="s">
        <v>45</v>
      </c>
      <c r="J10" s="14" t="s">
        <v>49</v>
      </c>
    </row>
    <row r="11" spans="3:10" x14ac:dyDescent="0.3">
      <c r="C11" s="4">
        <v>6</v>
      </c>
      <c r="D11" s="2">
        <v>104</v>
      </c>
      <c r="E11" s="3">
        <v>45757</v>
      </c>
      <c r="F11" s="2" t="s">
        <v>42</v>
      </c>
      <c r="G11" s="21">
        <v>7500</v>
      </c>
      <c r="H11" s="2">
        <v>3</v>
      </c>
      <c r="I11" s="2" t="s">
        <v>45</v>
      </c>
      <c r="J11" s="14" t="s">
        <v>48</v>
      </c>
    </row>
    <row r="12" spans="3:10" x14ac:dyDescent="0.3">
      <c r="C12" s="4">
        <v>7</v>
      </c>
      <c r="D12" s="2">
        <v>101</v>
      </c>
      <c r="E12" s="3">
        <v>45778</v>
      </c>
      <c r="F12" s="2" t="s">
        <v>41</v>
      </c>
      <c r="G12" s="21">
        <v>5000</v>
      </c>
      <c r="H12" s="2">
        <v>2</v>
      </c>
      <c r="I12" s="2" t="s">
        <v>45</v>
      </c>
      <c r="J12" s="14" t="s">
        <v>49</v>
      </c>
    </row>
    <row r="13" spans="3:10" x14ac:dyDescent="0.3">
      <c r="C13" s="4">
        <v>8</v>
      </c>
      <c r="D13" s="2">
        <v>105</v>
      </c>
      <c r="E13" s="3">
        <v>45731</v>
      </c>
      <c r="F13" s="2" t="s">
        <v>43</v>
      </c>
      <c r="G13" s="21">
        <v>2200</v>
      </c>
      <c r="H13" s="2">
        <v>2</v>
      </c>
      <c r="I13" s="2" t="s">
        <v>47</v>
      </c>
      <c r="J13" s="14" t="s">
        <v>49</v>
      </c>
    </row>
    <row r="14" spans="3:10" x14ac:dyDescent="0.3">
      <c r="C14" s="4">
        <v>9</v>
      </c>
      <c r="D14" s="2">
        <v>105</v>
      </c>
      <c r="E14" s="3">
        <v>45767</v>
      </c>
      <c r="F14" s="2" t="s">
        <v>42</v>
      </c>
      <c r="G14" s="21">
        <v>1800</v>
      </c>
      <c r="H14" s="2">
        <v>1</v>
      </c>
      <c r="I14" s="2" t="s">
        <v>46</v>
      </c>
      <c r="J14" s="14" t="s">
        <v>48</v>
      </c>
    </row>
    <row r="15" spans="3:10" x14ac:dyDescent="0.3">
      <c r="C15" s="4">
        <v>10</v>
      </c>
      <c r="D15" s="2">
        <v>106</v>
      </c>
      <c r="E15" s="3">
        <v>45787</v>
      </c>
      <c r="F15" s="2" t="s">
        <v>44</v>
      </c>
      <c r="G15" s="21">
        <v>350</v>
      </c>
      <c r="H15" s="2">
        <v>1</v>
      </c>
      <c r="I15" s="2" t="s">
        <v>47</v>
      </c>
      <c r="J15" s="14" t="s">
        <v>49</v>
      </c>
    </row>
    <row r="16" spans="3:10" x14ac:dyDescent="0.3">
      <c r="C16" s="4">
        <v>11</v>
      </c>
      <c r="D16" s="2">
        <v>107</v>
      </c>
      <c r="E16" s="3">
        <v>45677</v>
      </c>
      <c r="F16" s="2" t="s">
        <v>41</v>
      </c>
      <c r="G16" s="21">
        <v>9500</v>
      </c>
      <c r="H16" s="2">
        <v>3</v>
      </c>
      <c r="I16" s="2" t="s">
        <v>45</v>
      </c>
      <c r="J16" s="14" t="s">
        <v>48</v>
      </c>
    </row>
    <row r="17" spans="3:10" x14ac:dyDescent="0.3">
      <c r="C17" s="4">
        <v>12</v>
      </c>
      <c r="D17" s="2">
        <v>107</v>
      </c>
      <c r="E17" s="3">
        <v>45738</v>
      </c>
      <c r="F17" s="2" t="s">
        <v>43</v>
      </c>
      <c r="G17" s="21">
        <v>3100</v>
      </c>
      <c r="H17" s="2">
        <v>2</v>
      </c>
      <c r="I17" s="2" t="s">
        <v>45</v>
      </c>
      <c r="J17" s="14" t="s">
        <v>49</v>
      </c>
    </row>
    <row r="18" spans="3:10" x14ac:dyDescent="0.3">
      <c r="C18" s="4">
        <v>13</v>
      </c>
      <c r="D18" s="2">
        <v>108</v>
      </c>
      <c r="E18" s="3">
        <v>45749</v>
      </c>
      <c r="F18" s="2" t="s">
        <v>44</v>
      </c>
      <c r="G18" s="21">
        <v>450</v>
      </c>
      <c r="H18" s="2">
        <v>1</v>
      </c>
      <c r="I18" s="2" t="s">
        <v>46</v>
      </c>
      <c r="J18" s="14" t="s">
        <v>49</v>
      </c>
    </row>
    <row r="19" spans="3:10" x14ac:dyDescent="0.3">
      <c r="C19" s="4">
        <v>14</v>
      </c>
      <c r="D19" s="2">
        <v>109</v>
      </c>
      <c r="E19" s="3">
        <v>45699</v>
      </c>
      <c r="F19" s="2" t="s">
        <v>42</v>
      </c>
      <c r="G19" s="21">
        <v>2800</v>
      </c>
      <c r="H19" s="2">
        <v>2</v>
      </c>
      <c r="I19" s="2" t="s">
        <v>47</v>
      </c>
      <c r="J19" s="14" t="s">
        <v>48</v>
      </c>
    </row>
    <row r="20" spans="3:10" x14ac:dyDescent="0.3">
      <c r="C20" s="4">
        <v>15</v>
      </c>
      <c r="D20" s="2">
        <v>109</v>
      </c>
      <c r="E20" s="3">
        <v>45791</v>
      </c>
      <c r="F20" s="2" t="s">
        <v>43</v>
      </c>
      <c r="G20" s="21">
        <v>1500</v>
      </c>
      <c r="H20" s="2">
        <v>1</v>
      </c>
      <c r="I20" s="2" t="s">
        <v>45</v>
      </c>
      <c r="J20" s="14" t="s">
        <v>48</v>
      </c>
    </row>
    <row r="21" spans="3:10" x14ac:dyDescent="0.3">
      <c r="C21" s="4">
        <v>16</v>
      </c>
      <c r="D21" s="2">
        <v>110</v>
      </c>
      <c r="E21" s="3">
        <v>45735</v>
      </c>
      <c r="F21" s="2" t="s">
        <v>41</v>
      </c>
      <c r="G21" s="21">
        <v>12000</v>
      </c>
      <c r="H21" s="2">
        <v>5</v>
      </c>
      <c r="I21" s="2" t="s">
        <v>45</v>
      </c>
      <c r="J21" s="14" t="s">
        <v>49</v>
      </c>
    </row>
    <row r="22" spans="3:10" x14ac:dyDescent="0.3">
      <c r="C22" s="4">
        <v>17</v>
      </c>
      <c r="D22" s="2">
        <v>110</v>
      </c>
      <c r="E22" s="3">
        <v>45802</v>
      </c>
      <c r="F22" s="2" t="s">
        <v>42</v>
      </c>
      <c r="G22" s="21">
        <v>4200</v>
      </c>
      <c r="H22" s="2">
        <v>2</v>
      </c>
      <c r="I22" s="2" t="s">
        <v>45</v>
      </c>
      <c r="J22" s="14" t="s">
        <v>48</v>
      </c>
    </row>
    <row r="23" spans="3:10" x14ac:dyDescent="0.3">
      <c r="C23" s="4">
        <v>18</v>
      </c>
      <c r="D23" s="2">
        <v>102</v>
      </c>
      <c r="E23" s="3">
        <v>45752</v>
      </c>
      <c r="F23" s="2" t="s">
        <v>42</v>
      </c>
      <c r="G23" s="21">
        <v>2500</v>
      </c>
      <c r="H23" s="2">
        <v>2</v>
      </c>
      <c r="I23" s="2" t="s">
        <v>47</v>
      </c>
      <c r="J23" s="14" t="s">
        <v>49</v>
      </c>
    </row>
    <row r="24" spans="3:10" x14ac:dyDescent="0.3">
      <c r="C24" s="4">
        <v>19</v>
      </c>
      <c r="D24" s="2">
        <v>104</v>
      </c>
      <c r="E24" s="3">
        <v>45779</v>
      </c>
      <c r="F24" s="2" t="s">
        <v>43</v>
      </c>
      <c r="G24" s="21">
        <v>1900</v>
      </c>
      <c r="H24" s="2">
        <v>1</v>
      </c>
      <c r="I24" s="2" t="s">
        <v>46</v>
      </c>
      <c r="J24" s="14" t="s">
        <v>49</v>
      </c>
    </row>
    <row r="25" spans="3:10" x14ac:dyDescent="0.3">
      <c r="C25" s="10">
        <v>20</v>
      </c>
      <c r="D25" s="11">
        <v>108</v>
      </c>
      <c r="E25" s="16">
        <v>45795</v>
      </c>
      <c r="F25" s="11" t="s">
        <v>42</v>
      </c>
      <c r="G25" s="22">
        <v>1200</v>
      </c>
      <c r="H25" s="11">
        <v>1</v>
      </c>
      <c r="I25" s="11" t="s">
        <v>47</v>
      </c>
      <c r="J25" s="17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3F76-8ECF-4080-8283-E8BFE21C5D71}">
  <dimension ref="A1:O28"/>
  <sheetViews>
    <sheetView showGridLines="0" tabSelected="1" zoomScale="55" zoomScaleNormal="55" workbookViewId="0">
      <selection activeCell="K42" sqref="K42"/>
    </sheetView>
  </sheetViews>
  <sheetFormatPr defaultRowHeight="14.4" x14ac:dyDescent="0.3"/>
  <cols>
    <col min="1" max="1" width="18.6640625" bestFit="1" customWidth="1"/>
    <col min="2" max="2" width="22.33203125" bestFit="1" customWidth="1"/>
    <col min="3" max="3" width="16.88671875" customWidth="1"/>
    <col min="4" max="4" width="10.77734375" customWidth="1"/>
    <col min="6" max="6" width="15.33203125" customWidth="1"/>
    <col min="7" max="7" width="18.33203125" customWidth="1"/>
    <col min="9" max="9" width="11.109375" customWidth="1"/>
    <col min="10" max="10" width="11" customWidth="1"/>
    <col min="11" max="11" width="22.33203125" bestFit="1" customWidth="1"/>
    <col min="12" max="12" width="19.77734375" bestFit="1" customWidth="1"/>
    <col min="13" max="13" width="6.6640625" bestFit="1" customWidth="1"/>
    <col min="14" max="14" width="15.5546875" bestFit="1" customWidth="1"/>
  </cols>
  <sheetData>
    <row r="1" spans="1:15" ht="14.4" customHeight="1" x14ac:dyDescent="0.3">
      <c r="A1" s="23" t="s">
        <v>51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4.4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14.4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ht="14.4" customHeight="1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6" spans="1:15" ht="14.4" customHeight="1" x14ac:dyDescent="0.3">
      <c r="A6" s="27" t="s">
        <v>52</v>
      </c>
      <c r="B6" s="28"/>
      <c r="C6" s="29"/>
      <c r="E6" s="27" t="s">
        <v>53</v>
      </c>
      <c r="F6" s="28"/>
      <c r="G6" s="29"/>
      <c r="I6" s="27" t="s">
        <v>54</v>
      </c>
      <c r="J6" s="28"/>
      <c r="K6" s="29"/>
      <c r="M6" s="27" t="s">
        <v>55</v>
      </c>
      <c r="N6" s="28"/>
      <c r="O6" s="29"/>
    </row>
    <row r="7" spans="1:15" ht="14.4" customHeight="1" x14ac:dyDescent="0.3">
      <c r="A7" s="30"/>
      <c r="B7" s="31"/>
      <c r="C7" s="32"/>
      <c r="E7" s="30"/>
      <c r="F7" s="31"/>
      <c r="G7" s="32"/>
      <c r="I7" s="30"/>
      <c r="J7" s="31"/>
      <c r="K7" s="32"/>
      <c r="M7" s="30"/>
      <c r="N7" s="31"/>
      <c r="O7" s="32"/>
    </row>
    <row r="8" spans="1:15" ht="21" customHeight="1" x14ac:dyDescent="0.3">
      <c r="A8" s="24">
        <f>SUM(transactions_data!G:G)</f>
        <v>73700</v>
      </c>
      <c r="B8" s="25"/>
      <c r="C8" s="26"/>
      <c r="E8" s="33">
        <f>COUNTA(transactions_data!G:G)-1</f>
        <v>20</v>
      </c>
      <c r="F8" s="34"/>
      <c r="G8" s="35"/>
      <c r="I8" s="24">
        <f>A8/E8</f>
        <v>3685</v>
      </c>
      <c r="J8" s="34"/>
      <c r="K8" s="35"/>
      <c r="M8" s="33">
        <f>SUM(transactions_data!H:H)</f>
        <v>38</v>
      </c>
      <c r="N8" s="34"/>
      <c r="O8" s="35"/>
    </row>
    <row r="9" spans="1:15" x14ac:dyDescent="0.3">
      <c r="H9" s="18"/>
    </row>
    <row r="12" spans="1:15" x14ac:dyDescent="0.3">
      <c r="F12" s="39" t="s">
        <v>31</v>
      </c>
      <c r="G12" s="2" t="s">
        <v>50</v>
      </c>
      <c r="K12" s="40" t="s">
        <v>56</v>
      </c>
      <c r="L12" s="40" t="s">
        <v>33</v>
      </c>
      <c r="M12" s="13"/>
      <c r="N12" s="13"/>
    </row>
    <row r="13" spans="1:15" x14ac:dyDescent="0.3">
      <c r="F13" s="2" t="s">
        <v>44</v>
      </c>
      <c r="G13" s="21">
        <v>1300</v>
      </c>
      <c r="K13" s="40" t="s">
        <v>31</v>
      </c>
      <c r="L13" s="13" t="s">
        <v>48</v>
      </c>
      <c r="M13" s="13" t="s">
        <v>49</v>
      </c>
      <c r="N13" s="13" t="s">
        <v>32</v>
      </c>
    </row>
    <row r="14" spans="1:15" x14ac:dyDescent="0.3">
      <c r="F14" s="2" t="s">
        <v>43</v>
      </c>
      <c r="G14" s="21">
        <v>9900</v>
      </c>
      <c r="K14" s="41" t="s">
        <v>26</v>
      </c>
      <c r="L14" s="42">
        <v>6000</v>
      </c>
      <c r="M14" s="42">
        <v>14200</v>
      </c>
      <c r="N14" s="42">
        <v>20200</v>
      </c>
    </row>
    <row r="15" spans="1:15" x14ac:dyDescent="0.3">
      <c r="F15" s="2" t="s">
        <v>41</v>
      </c>
      <c r="G15" s="21">
        <v>39000</v>
      </c>
      <c r="K15" s="41" t="s">
        <v>24</v>
      </c>
      <c r="L15" s="42">
        <v>10700</v>
      </c>
      <c r="M15" s="42">
        <v>5600</v>
      </c>
      <c r="N15" s="42">
        <v>16300</v>
      </c>
    </row>
    <row r="16" spans="1:15" x14ac:dyDescent="0.3">
      <c r="F16" s="2" t="s">
        <v>42</v>
      </c>
      <c r="G16" s="21">
        <v>23500</v>
      </c>
      <c r="K16" s="41" t="s">
        <v>25</v>
      </c>
      <c r="L16" s="42">
        <v>4800</v>
      </c>
      <c r="M16" s="42"/>
      <c r="N16" s="42">
        <v>4800</v>
      </c>
    </row>
    <row r="17" spans="1:14" x14ac:dyDescent="0.3">
      <c r="F17" s="2" t="s">
        <v>32</v>
      </c>
      <c r="G17" s="21">
        <v>73700</v>
      </c>
      <c r="K17" s="41" t="s">
        <v>27</v>
      </c>
      <c r="L17" s="42"/>
      <c r="M17" s="42">
        <v>350</v>
      </c>
      <c r="N17" s="42">
        <v>350</v>
      </c>
    </row>
    <row r="18" spans="1:14" x14ac:dyDescent="0.3">
      <c r="K18" s="41" t="s">
        <v>23</v>
      </c>
      <c r="L18" s="42">
        <v>13200</v>
      </c>
      <c r="M18" s="42">
        <v>18850</v>
      </c>
      <c r="N18" s="42">
        <v>32050</v>
      </c>
    </row>
    <row r="19" spans="1:14" x14ac:dyDescent="0.3">
      <c r="K19" s="41" t="s">
        <v>32</v>
      </c>
      <c r="L19" s="42">
        <v>34700</v>
      </c>
      <c r="M19" s="42">
        <v>39000</v>
      </c>
      <c r="N19" s="42">
        <v>73700</v>
      </c>
    </row>
    <row r="24" spans="1:14" x14ac:dyDescent="0.3">
      <c r="A24" s="36" t="s">
        <v>31</v>
      </c>
      <c r="B24" s="1" t="s">
        <v>56</v>
      </c>
    </row>
    <row r="25" spans="1:14" x14ac:dyDescent="0.3">
      <c r="A25" s="37" t="s">
        <v>28</v>
      </c>
      <c r="B25" s="38">
        <v>59200</v>
      </c>
    </row>
    <row r="26" spans="1:14" x14ac:dyDescent="0.3">
      <c r="A26" s="37" t="s">
        <v>29</v>
      </c>
      <c r="B26" s="38">
        <v>12000</v>
      </c>
    </row>
    <row r="27" spans="1:14" x14ac:dyDescent="0.3">
      <c r="A27" s="37" t="s">
        <v>30</v>
      </c>
      <c r="B27" s="38">
        <v>2500</v>
      </c>
    </row>
    <row r="28" spans="1:14" x14ac:dyDescent="0.3">
      <c r="A28" s="37" t="s">
        <v>32</v>
      </c>
      <c r="B28" s="38">
        <v>73700</v>
      </c>
    </row>
  </sheetData>
  <mergeCells count="9">
    <mergeCell ref="A6:C7"/>
    <mergeCell ref="A8:C8"/>
    <mergeCell ref="E6:G7"/>
    <mergeCell ref="E8:G8"/>
    <mergeCell ref="I6:K7"/>
    <mergeCell ref="I8:K8"/>
    <mergeCell ref="A1:O4"/>
    <mergeCell ref="M6:O7"/>
    <mergeCell ref="M8:O8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9DD7-B3A0-46B9-A855-6490EEF35920}">
  <dimension ref="A1"/>
  <sheetViews>
    <sheetView topLeftCell="D2" zoomScale="70" zoomScaleNormal="70" workbookViewId="0">
      <selection activeCell="O9" sqref="O9:P13"/>
    </sheetView>
  </sheetViews>
  <sheetFormatPr defaultRowHeight="14.4" x14ac:dyDescent="0.3"/>
  <cols>
    <col min="3" max="3" width="20.21875" bestFit="1" customWidth="1"/>
    <col min="4" max="4" width="16.88671875" bestFit="1" customWidth="1"/>
    <col min="5" max="5" width="22.77734375" bestFit="1" customWidth="1"/>
    <col min="6" max="6" width="11.88671875" bestFit="1" customWidth="1"/>
    <col min="7" max="7" width="11" bestFit="1" customWidth="1"/>
    <col min="8" max="8" width="14.6640625" bestFit="1" customWidth="1"/>
    <col min="11" max="11" width="19.88671875" bestFit="1" customWidth="1"/>
    <col min="12" max="12" width="17.77734375" bestFit="1" customWidth="1"/>
    <col min="13" max="13" width="7" bestFit="1" customWidth="1"/>
    <col min="14" max="14" width="13.33203125" bestFit="1" customWidth="1"/>
    <col min="15" max="15" width="18.6640625" bestFit="1" customWidth="1"/>
    <col min="16" max="16" width="22.332031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customers_data</vt:lpstr>
      <vt:lpstr>transactions_data</vt:lpstr>
      <vt:lpstr>dashboard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Barış Ergin</dc:creator>
  <cp:lastModifiedBy>Emir Barış Ergin</cp:lastModifiedBy>
  <dcterms:created xsi:type="dcterms:W3CDTF">2026-05-31T22:25:23Z</dcterms:created>
  <dcterms:modified xsi:type="dcterms:W3CDTF">2026-05-31T23:28:03Z</dcterms:modified>
</cp:coreProperties>
</file>